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00ae23c67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d981d2c6bf1407d"/>
    <x:sheet xmlns:r="http://schemas.openxmlformats.org/officeDocument/2006/relationships" name="Packages" sheetId="2" r:id="R20819f74b00b4f38"/>
    <x:sheet xmlns:r="http://schemas.openxmlformats.org/officeDocument/2006/relationships" name="Monthly plan" sheetId="3" r:id="Rfbd2774d39664c64"/>
    <x:sheet xmlns:r="http://schemas.openxmlformats.org/officeDocument/2006/relationships" name="Package trials" sheetId="4" r:id="R403cc4d9da39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₹&quot;#,##0;[Red](&quot;₹&quot;#,##0);&quot;₹&quot;0"/>
    <x:numFmt numFmtId="201" formatCode="0.00"/>
    <x:numFmt numFmtId="202" formatCode="0.0"/>
    <x:numFmt numFmtId="203" formatCode="0.0%"/>
  </x:numFmts>
  <x:fonts count="7">
    <x:font>
      <x:sz val="11"/>
      <x:name val="Carlito"/>
    </x:font>
    <x:font>
      <x:sz val="11"/>
      <x:color rgb="FF243447"/>
      <x:name val="Arial"/>
    </x:font>
    <x:font>
      <x:b/>
      <x:sz val="17"/>
      <x:color rgb="FF243447"/>
      <x:name val="Arial"/>
    </x:font>
    <x:font>
      <x:sz val="10"/>
      <x:color rgb="FF627487"/>
      <x:name val="Arial"/>
    </x:font>
    <x:font>
      <x:b/>
      <x:sz val="11"/>
      <x:color rgb="FFFFFFFF"/>
      <x:name val="Arial"/>
    </x:font>
    <x:font>
      <x:sz val="11"/>
      <x:color rgb="FF1756A9"/>
      <x:name val="Arial"/>
    </x:font>
    <x:font>
      <x:b/>
      <x:sz val="11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C50"/>
      </x:patternFill>
    </x:fill>
    <x:fill>
      <x:patternFill patternType="solid">
        <x:fgColor rgb="FFFFF2CC"/>
      </x:patternFill>
    </x:fill>
    <x:fill>
      <x:patternFill patternType="solid">
        <x:fgColor rgb="FFE7EEF4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201" fontId="5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af1f47d914331" /><Relationship Type="http://schemas.openxmlformats.org/officeDocument/2006/relationships/theme" Target="/xl/theme/theme1.xml" Id="R72ad2f3c500748a8" /><Relationship Type="http://schemas.openxmlformats.org/officeDocument/2006/relationships/sharedStrings" Target="/xl/sharedStrings.xml" Id="R3e754ead263243c6" /><Relationship Type="http://schemas.openxmlformats.org/officeDocument/2006/relationships/worksheet" Target="/xl/worksheets/sheet1.xml" Id="R4d981d2c6bf1407d" /><Relationship Type="http://schemas.openxmlformats.org/officeDocument/2006/relationships/worksheet" Target="/xl/worksheets/sheet2.xml" Id="R20819f74b00b4f38" /><Relationship Type="http://schemas.openxmlformats.org/officeDocument/2006/relationships/worksheet" Target="/xl/worksheets/sheet3.xml" Id="Rfbd2774d39664c64" /><Relationship Type="http://schemas.openxmlformats.org/officeDocument/2006/relationships/worksheet" Target="/xl/worksheets/sheet4.xml" Id="R403cc4d9da3941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6" hidden="0" customWidth="1"/>
    <x:col min="3" max="3" width="46" hidden="0" customWidth="1"/>
  </x:cols>
  <x:sheetData>
    <x:row r="1" ht="25" customHeight="1">
      <x:c r="A1" s="26" t="str">
        <x:v>Neighbourly business plan</x:v>
      </x:c>
      <x:c r="B1" s="27"/>
      <x:c r="C1" s="27"/>
    </x:row>
    <x:row r="2" ht="25" customHeight="1">
      <x:c r="A2" s="28" t="str">
        <x:v>Retailer package experiments | INR | Prepared 13 September 2026</x:v>
      </x:c>
      <x:c r="B2" s="27"/>
      <x:c r="C2" s="27"/>
    </x:row>
    <x:row r="3" ht="25" customHeight="1">
      <x:c r="A3" s="27"/>
      <x:c r="B3" s="27"/>
      <x:c r="C3" s="27"/>
    </x:row>
    <x:row r="4" ht="36" customHeight="1">
      <x:c r="A4" s="29" t="str">
        <x:v>Start with</x:v>
      </x:c>
      <x:c r="B4" s="29" t="str">
        <x:v>Action</x:v>
      </x:c>
      <x:c r="C4" s="29" t="str">
        <x:v>Where</x:v>
      </x:c>
    </x:row>
    <x:row r="5" ht="57" customHeight="1">
      <x:c r="A5" s="30" t="str">
        <x:v>1. Define your offers</x:v>
      </x:c>
      <x:c r="B5" s="30" t="str">
        <x:v>Edit prices, product limits, update batches and delivery costs.</x:v>
      </x:c>
      <x:c r="C5" s="30" t="str">
        <x:v>Packages</x:v>
      </x:c>
    </x:row>
    <x:row r="6" ht="57" customHeight="1">
      <x:c r="A6" s="30" t="str">
        <x:v>2. Build a sales mix</x:v>
      </x:c>
      <x:c r="B6" s="30" t="str">
        <x:v>Enter existing retailers, new sign-ups, overhead and available hours.</x:v>
      </x:c>
      <x:c r="C6" s="30" t="str">
        <x:v>Monthly plan</x:v>
      </x:c>
    </x:row>
    <x:row r="7" ht="57" customHeight="1">
      <x:c r="A7" s="30" t="str">
        <x:v>3. Compare price tests</x:v>
      </x:c>
      <x:c r="B7" s="30" t="str">
        <x:v>Try three independent combinations of package, price and retailer volume.</x:v>
      </x:c>
      <x:c r="C7" s="30" t="str">
        <x:v>Package trials</x:v>
      </x:c>
    </x:row>
    <x:row r="8" ht="57" customHeight="1">
      <x:c r="A8" s="30" t="str">
        <x:v>4. Run a pilot</x:v>
      </x:c>
      <x:c r="B8" s="30" t="str">
        <x:v>Pitch five local shops; record enquiries, delivery hours and first-month renewals.</x:v>
      </x:c>
      <x:c r="C8" s="30" t="str">
        <x:v>Use actual results to replace the assumptions</x:v>
      </x:c>
    </x:row>
    <x:row r="9" ht="25" customHeight="1">
      <x:c r="A9" s="30"/>
      <x:c r="B9" s="30"/>
      <x:c r="C9" s="30"/>
    </x:row>
    <x:row r="10" ht="25" customHeight="1">
      <x:c r="A10" s="30"/>
      <x:c r="B10" s="30"/>
      <x:c r="C10" s="30"/>
    </x:row>
    <x:row r="11" ht="36" customHeight="1">
      <x:c r="A11" s="29" t="str">
        <x:v>Income stream</x:v>
      </x:c>
      <x:c r="B11" s="29" t="str">
        <x:v>Pilot offer / suggested pricing</x:v>
      </x:c>
      <x:c r="C11" s="29" t="str">
        <x:v>How to use it</x:v>
      </x:c>
    </x:row>
    <x:row r="12" ht="57" customHeight="1">
      <x:c r="A12" s="30" t="str">
        <x:v>Catalogue services</x:v>
      </x:c>
      <x:c r="B12" s="30" t="str">
        <x:v>Setup ₹2,000–₹5,000; monthly management ₹499–₹999.</x:v>
      </x:c>
      <x:c r="C12" s="30" t="str">
        <x:v>Main recurring offer; modelled in Packages</x:v>
      </x:c>
    </x:row>
    <x:row r="13" ht="57" customHeight="1">
      <x:c r="A13" s="30" t="str">
        <x:v>Advertising</x:v>
      </x:c>
      <x:c r="B13" s="30" t="str">
        <x:v>₹500–₹2,000 per advertiser-month.</x:v>
      </x:c>
      <x:c r="C13" s="30" t="str">
        <x:v>Enter units and price in Monthly plan; measure traffic first</x:v>
      </x:c>
    </x:row>
    <x:row r="14" ht="57" customHeight="1">
      <x:c r="A14" s="30" t="str">
        <x:v>Own website</x:v>
      </x:c>
      <x:c r="B14" s="30" t="str">
        <x:v>₹9,999 setup; define ongoing support and hosting separately.</x:v>
      </x:c>
      <x:c r="C14" s="30" t="str">
        <x:v>Included as a package; replace delivery cost estimates</x:v>
      </x:c>
    </x:row>
    <x:row r="15" ht="57" customHeight="1">
      <x:c r="A15" s="30" t="str">
        <x:v>Wholesaler promotion</x:v>
      </x:c>
      <x:c r="B15" s="30" t="str">
        <x:v>₹1,000–₹3,000/month for catalogue promotion.</x:v>
      </x:c>
      <x:c r="C15" s="30" t="str">
        <x:v>Future offer after attracting retailer buyers; not in totals</x:v>
      </x:c>
    </x:row>
    <x:row r="16" ht="57" customHeight="1">
      <x:c r="A16" s="30" t="str">
        <x:v>Seasonal campaigns</x:v>
      </x:c>
      <x:c r="B16" s="30" t="str">
        <x:v>₹1,000–₹3,000 per festival campaign.</x:v>
      </x:c>
      <x:c r="C16" s="30" t="str">
        <x:v>Future add-on; budget artwork and promotion costs separately</x:v>
      </x:c>
    </x:row>
    <x:row r="17" ht="57" customHeight="1">
      <x:c r="A17" s="30" t="str">
        <x:v>Qualified enquiries</x:v>
      </x:c>
      <x:c r="B17" s="30" t="str">
        <x:v>Agree pricing and valid-lead rules with each business.</x:v>
      </x:c>
      <x:c r="C17" s="30" t="str">
        <x:v>Later; requires enquiry tracking; not in totals</x:v>
      </x:c>
    </x:row>
    <x:row r="18" ht="57" customHeight="1">
      <x:c r="A18" s="30" t="str">
        <x:v>Sales commission</x:v>
      </x:c>
      <x:c r="B18" s="30" t="str">
        <x:v>Do not assume commission revenue from WhatsApp clicks.</x:v>
      </x:c>
      <x:c r="C18" s="30" t="str">
        <x:v>Current website does not confirm completed sales</x:v>
      </x:c>
    </x:row>
    <x:row r="19" ht="25" customHeight="1">
      <x:c r="A19" s="30"/>
      <x:c r="B19" s="30"/>
      <x:c r="C19" s="30"/>
    </x:row>
    <x:row r="20" ht="25" customHeight="1">
      <x:c r="A20" s="30"/>
      <x:c r="B20" s="30"/>
      <x:c r="C20" s="30"/>
    </x:row>
    <x:row r="21" ht="36" customHeight="1">
      <x:c r="A21" s="29" t="str">
        <x:v>Basis and limitations</x:v>
      </x:c>
      <x:c r="B21" s="29" t="str">
        <x:v>Context</x:v>
      </x:c>
      <x:c r="C21" s="29" t="str">
        <x:v>Source</x:v>
      </x:c>
    </x:row>
    <x:row r="22" ht="57" customHeight="1">
      <x:c r="A22" s="30" t="str">
        <x:v>Pilot assumptions</x:v>
      </x:c>
      <x:c r="B22" s="30" t="str">
        <x:v>All prices, sales volumes, hours and costs are editable proposals, not market benchmarks or promised earnings.</x:v>
      </x:c>
      <x:c r="C22" s="30" t="str">
        <x:v>Business plan discussed in this conversation</x:v>
      </x:c>
    </x:row>
    <x:row r="23" ht="57" customHeight="1">
      <x:c r="A23" s="30" t="str">
        <x:v>Website capabilities</x:v>
      </x:c>
      <x:c r="B23" s="30" t="str">
        <x:v>Directory, product pages, advertisements and WhatsApp enquiries; no completed-order payment tracking.</x:v>
      </x:c>
      <x:c r="C23" s="30" t="str">
        <x:v>Neighbourly workspace README.md</x:v>
      </x:c>
    </x:row>
    <x:row r="24" ht="57" customHeight="1">
      <x:c r="A24" s="30" t="str">
        <x:v>Competitive context</x:v>
      </x:c>
      <x:c r="B24" s="30" t="str">
        <x:v>Google Business Profile is free. Charge for catalogue work, maintenance and measurable promotion.</x:v>
      </x:c>
      <x:c r="C24" s="30" t="str">
        <x:v>https://business.google.com/in/business-profile/</x:v>
      </x:c>
    </x:row>
    <x:row r="25" ht="57" customHeight="1">
      <x:c r="A25" s="30" t="str">
        <x:v>Colour key</x:v>
      </x:c>
      <x:c r="B25" s="30" t="str">
        <x:v>Yellow cells with blue text are inputs. Other numeric results are formulas.</x:v>
      </x:c>
      <x:c r="C25" s="30" t="str">
        <x:v>Keep formula cells intact when testing packages</x:v>
      </x:c>
    </x:row>
    <x:row r="26" ht="57" customHeight="1">
      <x:c r="A26" s="30" t="str">
        <x:v>Model scope</x:v>
      </x:c>
      <x:c r="B26" s="30" t="str">
        <x:v>One full-billing month, before tax. Existing and new retailers are counted once; no automatic churn or annual forecast.</x:v>
      </x:c>
      <x:c r="C26" s="30" t="str">
        <x:v>Labour values owner time; profit is after that allowance</x:v>
      </x:c>
    </x:row>
    <x:row r="27" ht="25" customHeight="1">
      <x:c r="A27" s="27"/>
      <x:c r="B27" s="27"/>
      <x:c r="C27" s="27"/>
    </x:row>
    <x:row r="28" ht="25" customHeight="1">
      <x:c r="A28" s="27"/>
      <x:c r="B28" s="27"/>
      <x:c r="C28" s="27"/>
    </x:row>
    <x:row r="29" ht="25" customHeight="1">
      <x:c r="A29" s="27"/>
      <x:c r="B29" s="27"/>
      <x:c r="C29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</x:cols>
  <x:sheetData>
    <x:row r="1" ht="25" customHeight="1">
      <x:c r="A1" s="26" t="str">
        <x:v>Retailer packages</x:v>
      </x:c>
      <x:c r="B1" s="27"/>
      <x:c r="C1" s="27"/>
      <x:c r="D1" s="27"/>
      <x:c r="E1" s="27"/>
      <x:c r="F1" s="27"/>
      <x:c r="G1" s="27"/>
      <x:c r="H1" s="27"/>
      <x:c r="I1" s="27"/>
    </x:row>
    <x:row r="2" ht="25" customHeight="1">
      <x:c r="A2" s="28" t="str">
        <x:v>Pilot assumptions in INR. Yellow cells are editable. Costs include delivery time.</x:v>
      </x:c>
      <x:c r="B2" s="27"/>
      <x:c r="C2" s="27"/>
      <x:c r="D2" s="27"/>
      <x:c r="E2" s="27"/>
      <x:c r="F2" s="27"/>
      <x:c r="G2" s="27"/>
      <x:c r="H2" s="27"/>
      <x:c r="I2" s="27"/>
    </x:row>
    <x:row r="3" ht="25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36" customHeight="1">
      <x:c r="A4" s="29" t="str">
        <x:v>Package</x:v>
      </x:c>
      <x:c r="B4" s="29" t="str">
        <x:v>Service scope</x:v>
      </x:c>
      <x:c r="C4" s="29" t="str">
        <x:v>Setup fee</x:v>
      </x:c>
      <x:c r="D4" s="29" t="str">
        <x:v>Monthly fee</x:v>
      </x:c>
      <x:c r="E4" s="29" t="str">
        <x:v>Setup hours</x:v>
      </x:c>
      <x:c r="F4" s="29" t="str">
        <x:v>Monthly hours</x:v>
      </x:c>
      <x:c r="G4" s="29" t="str">
        <x:v>Setup cash cost</x:v>
      </x:c>
      <x:c r="H4" s="29" t="str">
        <x:v>Monthly cash cost</x:v>
      </x:c>
      <x:c r="I4" s="29" t="str">
        <x:v>Retailer fit</x:v>
      </x:c>
    </x:row>
    <x:row r="5" ht="56" customHeight="1">
      <x:c r="A5" s="31" t="str">
        <x:v>Free listing</x:v>
      </x:c>
      <x:c r="B5" s="31" t="str">
        <x:v>Shop details and contact links</x:v>
      </x:c>
      <x:c r="C5" s="32" t="n">
        <x:v>0</x:v>
      </x:c>
      <x:c r="D5" s="32" t="n">
        <x:v>0</x:v>
      </x:c>
      <x:c r="E5" s="33" t="n">
        <x:v>0.25</x:v>
      </x:c>
      <x:c r="F5" s="33" t="n">
        <x:v>0.05</x:v>
      </x:c>
      <x:c r="G5" s="32" t="n">
        <x:v>0</x:v>
      </x:c>
      <x:c r="H5" s="32" t="n">
        <x:v>0</x:v>
      </x:c>
      <x:c r="I5" s="31" t="str">
        <x:v>Directory entry</x:v>
      </x:c>
    </x:row>
    <x:row r="6" ht="56" customHeight="1">
      <x:c r="A6" s="31" t="str">
        <x:v>Starter catalogue</x:v>
      </x:c>
      <x:c r="B6" s="31" t="str">
        <x:v>20 products; 1 update batch/month</x:v>
      </x:c>
      <x:c r="C6" s="32" t="n">
        <x:v>1999</x:v>
      </x:c>
      <x:c r="D6" s="32" t="n">
        <x:v>499</x:v>
      </x:c>
      <x:c r="E6" s="33" t="n">
        <x:v>2</x:v>
      </x:c>
      <x:c r="F6" s="33" t="n">
        <x:v>0.5</x:v>
      </x:c>
      <x:c r="G6" s="32" t="n">
        <x:v>100</x:v>
      </x:c>
      <x:c r="H6" s="32" t="n">
        <x:v>25</x:v>
      </x:c>
      <x:c r="I6" s="31" t="str">
        <x:v>Small shops</x:v>
      </x:c>
    </x:row>
    <x:row r="7" ht="56" customHeight="1">
      <x:c r="A7" s="31" t="str">
        <x:v>Standard catalogue</x:v>
      </x:c>
      <x:c r="B7" s="31" t="str">
        <x:v>50 products; 2 update batches/month</x:v>
      </x:c>
      <x:c r="C7" s="32" t="n">
        <x:v>2999</x:v>
      </x:c>
      <x:c r="D7" s="32" t="n">
        <x:v>699</x:v>
      </x:c>
      <x:c r="E7" s="33" t="n">
        <x:v>3</x:v>
      </x:c>
      <x:c r="F7" s="33" t="n">
        <x:v>1</x:v>
      </x:c>
      <x:c r="G7" s="32" t="n">
        <x:v>150</x:v>
      </x:c>
      <x:c r="H7" s="32" t="n">
        <x:v>50</x:v>
      </x:c>
      <x:c r="I7" s="31" t="str">
        <x:v>Grocery and clothing</x:v>
      </x:c>
    </x:row>
    <x:row r="8" ht="56" customHeight="1">
      <x:c r="A8" s="31" t="str">
        <x:v>Managed catalogue</x:v>
      </x:c>
      <x:c r="B8" s="31" t="str">
        <x:v>100 products; 4 update batches/month</x:v>
      </x:c>
      <x:c r="C8" s="32" t="n">
        <x:v>4999</x:v>
      </x:c>
      <x:c r="D8" s="32" t="n">
        <x:v>999</x:v>
      </x:c>
      <x:c r="E8" s="33" t="n">
        <x:v>5</x:v>
      </x:c>
      <x:c r="F8" s="33" t="n">
        <x:v>2</x:v>
      </x:c>
      <x:c r="G8" s="32" t="n">
        <x:v>250</x:v>
      </x:c>
      <x:c r="H8" s="32" t="n">
        <x:v>75</x:v>
      </x:c>
      <x:c r="I8" s="31" t="str">
        <x:v>Frequently changing stock</x:v>
      </x:c>
    </x:row>
    <x:row r="9" ht="56" customHeight="1">
      <x:c r="A9" s="31" t="str">
        <x:v>Own website</x:v>
      </x:c>
      <x:c r="B9" s="31" t="str">
        <x:v>Separate website; 50 products; 2 update batches/month</x:v>
      </x:c>
      <x:c r="C9" s="32" t="n">
        <x:v>9999</x:v>
      </x:c>
      <x:c r="D9" s="32" t="n">
        <x:v>999</x:v>
      </x:c>
      <x:c r="E9" s="33" t="n">
        <x:v>12</x:v>
      </x:c>
      <x:c r="F9" s="33" t="n">
        <x:v>1.5</x:v>
      </x:c>
      <x:c r="G9" s="32" t="n">
        <x:v>1000</x:v>
      </x:c>
      <x:c r="H9" s="32" t="n">
        <x:v>150</x:v>
      </x:c>
      <x:c r="I9" s="31" t="str">
        <x:v>Own brand website</x:v>
      </x:c>
    </x:row>
    <x:row r="10" ht="25" customHeight="1">
      <x:c r="A10" s="27"/>
      <x:c r="B10" s="27"/>
      <x:c r="C10" s="27"/>
      <x:c r="D10" s="27"/>
      <x:c r="E10" s="27"/>
      <x:c r="F10" s="27"/>
      <x:c r="G10" s="27"/>
      <x:c r="H10" s="27"/>
      <x:c r="I10" s="27"/>
    </x:row>
    <x:row r="11" ht="25" customHeight="1">
      <x:c r="A11" s="27"/>
      <x:c r="B11" s="27"/>
      <x:c r="C11" s="27"/>
      <x:c r="D11" s="27"/>
      <x:c r="E11" s="27"/>
      <x:c r="F11" s="27"/>
      <x:c r="G11" s="27"/>
      <x:c r="H11" s="27"/>
      <x:c r="I11" s="27"/>
    </x:row>
    <x:row r="12" ht="25" customHeight="1">
      <x:c r="A12" s="27" t="str">
        <x:v>Scope notes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5" customHeight="1">
      <x:c r="A13" s="27" t="str">
        <x:v>One update batch means one consolidated list of changes supplied by the retailer. Agree photo and product limits before selling.</x:v>
      </x:c>
      <x:c r="B13" s="27"/>
      <x:c r="C13" s="27"/>
      <x:c r="D13" s="27"/>
      <x:c r="E13" s="27"/>
      <x:c r="F13" s="27"/>
      <x:c r="G13" s="27"/>
      <x:c r="H13" s="27"/>
      <x:c r="I13" s="27"/>
    </x:row>
    <x:row r="14" ht="25" customHeight="1">
      <x:c r="A14" s="27" t="str">
        <x:v>Monthly cash costs exclude labour and central overhead. Own website costs assume hosting/domain allowances; replace with actual quotes.</x:v>
      </x:c>
      <x:c r="B14" s="27"/>
      <x:c r="C14" s="27"/>
      <x:c r="D14" s="27"/>
      <x:c r="E14" s="27"/>
      <x:c r="F14" s="27"/>
      <x:c r="G14" s="27"/>
      <x:c r="H14" s="27"/>
      <x:c r="I14" s="27"/>
    </x:row>
    <x:row r="15" ht="25" customHeight="1">
      <x:c r="A15" s="27" t="str">
        <x:v>No sales guarantee. Sponsored ads are optional and charged separately. Prices and workload estimates are unvalidated pilot assumptions.</x:v>
      </x:c>
      <x:c r="B15" s="27"/>
      <x:c r="C15" s="27"/>
      <x:c r="D15" s="27"/>
      <x:c r="E15" s="27"/>
      <x:c r="F15" s="27"/>
      <x:c r="G15" s="27"/>
      <x:c r="H15" s="27"/>
      <x:c r="I15" s="27"/>
    </x:row>
    <x:row r="16" ht="25" customHeight="1">
      <x:c r="A16" s="27"/>
      <x:c r="B16" s="27"/>
      <x:c r="C16" s="27"/>
      <x:c r="D16" s="27"/>
      <x:c r="E16" s="27"/>
      <x:c r="F16" s="27"/>
      <x:c r="G16" s="27"/>
      <x:c r="H16" s="27"/>
      <x:c r="I16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25" hidden="0" customWidth="1"/>
    <x:col min="4" max="4" width="19" hidden="0" customWidth="1"/>
    <x:col min="5" max="5" width="2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5" customHeight="1">
      <x:c r="A1" s="26" t="str">
        <x:v>Monthly business plan</x:v>
      </x:c>
      <x:c r="B1" s="27"/>
      <x:c r="C1" s="27"/>
      <x:c r="D1" s="27"/>
      <x:c r="E1" s="27"/>
      <x:c r="F1" s="27"/>
      <x:c r="G1" s="27"/>
      <x:c r="H1" s="27"/>
      <x:c r="I1" s="27"/>
    </x:row>
    <x:row r="2" ht="25" customHeight="1">
      <x:c r="A2" s="28" t="str">
        <x:v>One representative month. Existing retailers exclude new sign-ups; all new sign-ups pay a full first month.</x:v>
      </x:c>
      <x:c r="B2" s="27"/>
      <x:c r="C2" s="27"/>
      <x:c r="D2" s="27"/>
      <x:c r="E2" s="27"/>
      <x:c r="F2" s="27"/>
      <x:c r="G2" s="27"/>
      <x:c r="H2" s="27"/>
      <x:c r="I2" s="27"/>
    </x:row>
    <x:row r="3" ht="25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36" customHeight="1">
      <x:c r="A4" s="29" t="str">
        <x:v>Package</x:v>
      </x:c>
      <x:c r="B4" s="29" t="str">
        <x:v>Existing retailers</x:v>
      </x:c>
      <x:c r="C4" s="29" t="str">
        <x:v>New sign-ups</x:v>
      </x:c>
      <x:c r="D4" s="29" t="str">
        <x:v>Billed retailers</x:v>
      </x:c>
      <x:c r="E4" s="29" t="str">
        <x:v>Monthly revenue</x:v>
      </x:c>
      <x:c r="F4" s="29" t="str">
        <x:v>Setup revenue</x:v>
      </x:c>
      <x:c r="G4" s="29" t="str">
        <x:v>Service hours</x:v>
      </x:c>
      <x:c r="H4" s="29" t="str">
        <x:v>Direct cash costs</x:v>
      </x:c>
      <x:c r="I4" s="29" t="str">
        <x:v>Contribution</x:v>
      </x:c>
    </x:row>
    <x:row r="5" ht="36" customHeight="1">
      <x:c r="A5" s="30" t="str">
        <x:f>'Packages'!A5</x:f>
        <x:v>Free listing</x:v>
      </x:c>
      <x:c r="B5" s="34" t="n">
        <x:v>10</x:v>
      </x:c>
      <x:c r="C5" s="34" t="n">
        <x:v>2</x:v>
      </x:c>
      <x:c r="D5" s="27" t="n">
        <x:f>B5+C5</x:f>
        <x:v>12</x:v>
      </x:c>
      <x:c r="E5" s="35" t="n">
        <x:f>D5*'Packages'!D5</x:f>
        <x:v>0</x:v>
      </x:c>
      <x:c r="F5" s="35" t="n">
        <x:f>C5*'Packages'!C5</x:f>
        <x:v>0</x:v>
      </x:c>
      <x:c r="G5" s="36" t="n">
        <x:f>D5*'Packages'!F5+C5*'Packages'!E5</x:f>
        <x:v>1.1</x:v>
      </x:c>
      <x:c r="H5" s="35" t="n">
        <x:f>D5*'Packages'!H5+C5*'Packages'!G5</x:f>
        <x:v>0</x:v>
      </x:c>
      <x:c r="I5" s="35" t="n">
        <x:f>E5+F5-H5-G5*$B$15</x:f>
        <x:v>-275</x:v>
      </x:c>
    </x:row>
    <x:row r="6" ht="36" customHeight="1">
      <x:c r="A6" s="30" t="str">
        <x:f>'Packages'!A6</x:f>
        <x:v>Starter catalogue</x:v>
      </x:c>
      <x:c r="B6" s="34" t="n">
        <x:v>5</x:v>
      </x:c>
      <x:c r="C6" s="34" t="n">
        <x:v>1</x:v>
      </x:c>
      <x:c r="D6" s="27" t="n">
        <x:f>B6+C6</x:f>
        <x:v>6</x:v>
      </x:c>
      <x:c r="E6" s="35" t="n">
        <x:f>D6*'Packages'!D6</x:f>
        <x:v>2994</x:v>
      </x:c>
      <x:c r="F6" s="35" t="n">
        <x:f>C6*'Packages'!C6</x:f>
        <x:v>1999</x:v>
      </x:c>
      <x:c r="G6" s="36" t="n">
        <x:f>D6*'Packages'!F6+C6*'Packages'!E6</x:f>
        <x:v>5</x:v>
      </x:c>
      <x:c r="H6" s="35" t="n">
        <x:f>D6*'Packages'!H6+C6*'Packages'!G6</x:f>
        <x:v>250</x:v>
      </x:c>
      <x:c r="I6" s="35" t="n">
        <x:f>E6+F6-H6-G6*$B$15</x:f>
        <x:v>3493</x:v>
      </x:c>
    </x:row>
    <x:row r="7" ht="36" customHeight="1">
      <x:c r="A7" s="30" t="str">
        <x:f>'Packages'!A7</x:f>
        <x:v>Standard catalogue</x:v>
      </x:c>
      <x:c r="B7" s="34" t="n">
        <x:v>20</x:v>
      </x:c>
      <x:c r="C7" s="34" t="n">
        <x:v>3</x:v>
      </x:c>
      <x:c r="D7" s="27" t="n">
        <x:f>B7+C7</x:f>
        <x:v>23</x:v>
      </x:c>
      <x:c r="E7" s="35" t="n">
        <x:f>D7*'Packages'!D7</x:f>
        <x:v>16077</x:v>
      </x:c>
      <x:c r="F7" s="35" t="n">
        <x:f>C7*'Packages'!C7</x:f>
        <x:v>8997</x:v>
      </x:c>
      <x:c r="G7" s="36" t="n">
        <x:f>D7*'Packages'!F7+C7*'Packages'!E7</x:f>
        <x:v>32</x:v>
      </x:c>
      <x:c r="H7" s="35" t="n">
        <x:f>D7*'Packages'!H7+C7*'Packages'!G7</x:f>
        <x:v>1600</x:v>
      </x:c>
      <x:c r="I7" s="35" t="n">
        <x:f>E7+F7-H7-G7*$B$15</x:f>
        <x:v>15474</x:v>
      </x:c>
    </x:row>
    <x:row r="8" ht="36" customHeight="1">
      <x:c r="A8" s="30" t="str">
        <x:f>'Packages'!A8</x:f>
        <x:v>Managed catalogue</x:v>
      </x:c>
      <x:c r="B8" s="34" t="n">
        <x:v>3</x:v>
      </x:c>
      <x:c r="C8" s="34" t="n">
        <x:v>1</x:v>
      </x:c>
      <x:c r="D8" s="27" t="n">
        <x:f>B8+C8</x:f>
        <x:v>4</x:v>
      </x:c>
      <x:c r="E8" s="35" t="n">
        <x:f>D8*'Packages'!D8</x:f>
        <x:v>3996</x:v>
      </x:c>
      <x:c r="F8" s="35" t="n">
        <x:f>C8*'Packages'!C8</x:f>
        <x:v>4999</x:v>
      </x:c>
      <x:c r="G8" s="36" t="n">
        <x:f>D8*'Packages'!F8+C8*'Packages'!E8</x:f>
        <x:v>13</x:v>
      </x:c>
      <x:c r="H8" s="35" t="n">
        <x:f>D8*'Packages'!H8+C8*'Packages'!G8</x:f>
        <x:v>550</x:v>
      </x:c>
      <x:c r="I8" s="35" t="n">
        <x:f>E8+F8-H8-G8*$B$15</x:f>
        <x:v>5195</x:v>
      </x:c>
    </x:row>
    <x:row r="9" ht="36" customHeight="1">
      <x:c r="A9" s="30" t="str">
        <x:f>'Packages'!A9</x:f>
        <x:v>Own website</x:v>
      </x:c>
      <x:c r="B9" s="34" t="n">
        <x:v>0</x:v>
      </x:c>
      <x:c r="C9" s="34" t="n">
        <x:v>0</x:v>
      </x:c>
      <x:c r="D9" s="27" t="n">
        <x:f>B9+C9</x:f>
        <x:v>0</x:v>
      </x:c>
      <x:c r="E9" s="35" t="n">
        <x:f>D9*'Packages'!D9</x:f>
        <x:v>0</x:v>
      </x:c>
      <x:c r="F9" s="35" t="n">
        <x:f>C9*'Packages'!C9</x:f>
        <x:v>0</x:v>
      </x:c>
      <x:c r="G9" s="36" t="n">
        <x:f>D9*'Packages'!F9+C9*'Packages'!E9</x:f>
        <x:v>0</x:v>
      </x:c>
      <x:c r="H9" s="35" t="n">
        <x:f>D9*'Packages'!H9+C9*'Packages'!G9</x:f>
        <x:v>0</x:v>
      </x:c>
      <x:c r="I9" s="35" t="n">
        <x:f>E9+F9-H9-G9*$B$15</x:f>
        <x:v>0</x:v>
      </x:c>
    </x:row>
    <x:row r="10" ht="25" customHeight="1">
      <x:c r="A10" s="37" t="str">
        <x:v>Total</x:v>
      </x:c>
      <x:c r="B10" s="37" t="n">
        <x:f>SUM(B5:B9)</x:f>
        <x:v>38</x:v>
      </x:c>
      <x:c r="C10" s="37" t="n">
        <x:f>SUM(C5:C9)</x:f>
        <x:v>7</x:v>
      </x:c>
      <x:c r="D10" s="37" t="n">
        <x:f>SUM(D5:D9)</x:f>
        <x:v>45</x:v>
      </x:c>
      <x:c r="E10" s="38" t="n">
        <x:f>SUM(E5:E9)</x:f>
        <x:v>23067</x:v>
      </x:c>
      <x:c r="F10" s="38" t="n">
        <x:f>SUM(F5:F9)</x:f>
        <x:v>15995</x:v>
      </x:c>
      <x:c r="G10" s="39" t="n">
        <x:f>SUM(G5:G9)</x:f>
        <x:v>51.1</x:v>
      </x:c>
      <x:c r="H10" s="38" t="n">
        <x:f>SUM(H5:H9)</x:f>
        <x:v>2400</x:v>
      </x:c>
      <x:c r="I10" s="38" t="n">
        <x:f>SUM(I5:I9)</x:f>
        <x:v>23887</x:v>
      </x:c>
    </x:row>
    <x:row r="11" ht="25" customHeight="1">
      <x:c r="A11" s="27"/>
      <x:c r="B11" s="27"/>
      <x:c r="C11" s="27"/>
      <x:c r="D11" s="27"/>
      <x:c r="E11" s="27"/>
      <x:c r="F11" s="27"/>
      <x:c r="G11" s="27"/>
      <x:c r="H11" s="27"/>
      <x:c r="I11" s="27"/>
    </x:row>
    <x:row r="12" ht="25" customHeight="1">
      <x:c r="A12" s="27"/>
      <x:c r="B12" s="27"/>
      <x:c r="C12" s="27"/>
      <x:c r="D12" s="27"/>
      <x:c r="E12" s="27"/>
      <x:c r="F12" s="27"/>
      <x:c r="G12" s="27"/>
      <x:c r="H12" s="27"/>
      <x:c r="I12" s="27"/>
    </x:row>
    <x:row r="13" ht="36" customHeight="1">
      <x:c r="A13" s="29" t="str">
        <x:v>Shared cost inputs</x:v>
      </x:c>
      <x:c r="B13" s="29" t="str">
        <x:v>Value</x:v>
      </x:c>
      <x:c r="C13" s="29" t="str">
        <x:v>Definition</x:v>
      </x:c>
      <x:c r="D13" s="27"/>
      <x:c r="E13" s="29" t="str">
        <x:v>Monthly results</x:v>
      </x:c>
      <x:c r="F13" s="29" t="str">
        <x:v>INR / hours</x:v>
      </x:c>
      <x:c r="G13" s="27"/>
      <x:c r="H13" s="27"/>
      <x:c r="I13" s="27"/>
    </x:row>
    <x:row r="14" ht="57" customHeight="1">
      <x:c r="A14" s="30" t="str">
        <x:v>Available hours/month</x:v>
      </x:c>
      <x:c r="B14" s="34" t="n">
        <x:v>100</x:v>
      </x:c>
      <x:c r="C14" s="30" t="str">
        <x:v>Total hours available for service delivery and sales/admin</x:v>
      </x:c>
      <x:c r="D14" s="27"/>
      <x:c r="E14" s="30" t="str">
        <x:v>Recurring revenue</x:v>
      </x:c>
      <x:c r="F14" s="35" t="n">
        <x:f>E10+B21*B22</x:f>
        <x:v>23067</x:v>
      </x:c>
      <x:c r="G14" s="27"/>
      <x:c r="H14" s="27"/>
      <x:c r="I14" s="27"/>
    </x:row>
    <x:row r="15" ht="57" customHeight="1">
      <x:c r="A15" s="30" t="str">
        <x:v>Labour cost/hour</x:v>
      </x:c>
      <x:c r="B15" s="42" t="n">
        <x:v>250</x:v>
      </x:c>
      <x:c r="C15" s="30" t="str">
        <x:v>Value of your time or paid delivery labour; avoid double counting</x:v>
      </x:c>
      <x:c r="D15" s="27"/>
      <x:c r="E15" s="30" t="str">
        <x:v>One-time setup revenue</x:v>
      </x:c>
      <x:c r="F15" s="35" t="n">
        <x:f>F10</x:f>
        <x:v>15995</x:v>
      </x:c>
      <x:c r="G15" s="27"/>
      <x:c r="H15" s="27"/>
      <x:c r="I15" s="27"/>
    </x:row>
    <x:row r="16" ht="57" customHeight="1">
      <x:c r="A16" s="30" t="str">
        <x:v>Hosting and tools/month</x:v>
      </x:c>
      <x:c r="B16" s="42" t="n">
        <x:v>1000</x:v>
      </x:c>
      <x:c r="C16" s="30" t="str">
        <x:v>Central costs only; per-shop costs are on Packages</x:v>
      </x:c>
      <x:c r="D16" s="27"/>
      <x:c r="E16" s="30" t="str">
        <x:v>Total revenue</x:v>
      </x:c>
      <x:c r="F16" s="35" t="n">
        <x:f>F14+F15</x:f>
        <x:v>39062</x:v>
      </x:c>
      <x:c r="G16" s="27"/>
      <x:c r="H16" s="27"/>
      <x:c r="I16" s="27"/>
    </x:row>
    <x:row r="17" ht="57" customHeight="1">
      <x:c r="A17" s="30" t="str">
        <x:v>Marketing/month</x:v>
      </x:c>
      <x:c r="B17" s="42" t="n">
        <x:v>2000</x:v>
      </x:c>
      <x:c r="C17" s="30" t="str">
        <x:v>Promotion and customer acquisition spending</x:v>
      </x:c>
      <x:c r="D17" s="27"/>
      <x:c r="E17" s="30" t="str">
        <x:v>Direct cash costs</x:v>
      </x:c>
      <x:c r="F17" s="35" t="n">
        <x:f>H10</x:f>
        <x:v>2400</x:v>
      </x:c>
      <x:c r="G17" s="27"/>
      <x:c r="H17" s="27"/>
      <x:c r="I17" s="27"/>
    </x:row>
    <x:row r="18" ht="57" customHeight="1">
      <x:c r="A18" s="30" t="str">
        <x:v>Travel and admin/month</x:v>
      </x:c>
      <x:c r="B18" s="42" t="n">
        <x:v>1000</x:v>
      </x:c>
      <x:c r="C18" s="30" t="str">
        <x:v>Cash costs, excluding labour</x:v>
      </x:c>
      <x:c r="D18" s="27"/>
      <x:c r="E18" s="30" t="str">
        <x:v>Labour cost</x:v>
      </x:c>
      <x:c r="F18" s="35" t="n">
        <x:f>(G10+B20)*B15</x:f>
        <x:v>15275</x:v>
      </x:c>
      <x:c r="G18" s="27"/>
      <x:c r="H18" s="27"/>
      <x:c r="I18" s="27"/>
    </x:row>
    <x:row r="19" ht="57" customHeight="1">
      <x:c r="A19" s="30" t="str">
        <x:v>Other fixed costs/month</x:v>
      </x:c>
      <x:c r="B19" s="42" t="n">
        <x:v>0</x:v>
      </x:c>
      <x:c r="C19" s="30" t="str">
        <x:v>Other cash overhead</x:v>
      </x:c>
      <x:c r="D19" s="27"/>
      <x:c r="E19" s="30" t="str">
        <x:v>Fixed cash overhead</x:v>
      </x:c>
      <x:c r="F19" s="35" t="n">
        <x:f>SUM(B16:B19)</x:f>
        <x:v>4000</x:v>
      </x:c>
      <x:c r="G19" s="27"/>
      <x:c r="H19" s="27"/>
      <x:c r="I19" s="27"/>
    </x:row>
    <x:row r="20" ht="57" customHeight="1">
      <x:c r="A20" s="30" t="str">
        <x:v>Sales/admin hours/month</x:v>
      </x:c>
      <x:c r="B20" s="34" t="n">
        <x:v>10</x:v>
      </x:c>
      <x:c r="C20" s="30" t="str">
        <x:v>Non-delivery time costed at the same hourly rate</x:v>
      </x:c>
      <x:c r="D20" s="27"/>
      <x:c r="E20" s="40" t="str">
        <x:v>Profit before tax</x:v>
      </x:c>
      <x:c r="F20" s="38" t="n">
        <x:f>F16-SUM(F17:F19)</x:f>
        <x:v>17387</x:v>
      </x:c>
      <x:c r="G20" s="27"/>
      <x:c r="H20" s="27"/>
      <x:c r="I20" s="27"/>
    </x:row>
    <x:row r="21" ht="57" customHeight="1">
      <x:c r="A21" s="30" t="str">
        <x:v>Ad units sold/month</x:v>
      </x:c>
      <x:c r="B21" s="34" t="n">
        <x:v>0</x:v>
      </x:c>
      <x:c r="C21" s="30" t="str">
        <x:v>One unit is one advertiser placement-month</x:v>
      </x:c>
      <x:c r="D21" s="27"/>
      <x:c r="E21" s="30" t="str">
        <x:v>Profit margin</x:v>
      </x:c>
      <x:c r="F21" s="41" t="n">
        <x:f>IF(F16=0,"N/A",F20/F16)</x:f>
        <x:v>0.4451128974450873</x:v>
      </x:c>
      <x:c r="G21" s="27"/>
      <x:c r="H21" s="27"/>
      <x:c r="I21" s="27"/>
    </x:row>
    <x:row r="22" ht="57" customHeight="1">
      <x:c r="A22" s="30" t="str">
        <x:v>Price per ad unit</x:v>
      </x:c>
      <x:c r="B22" s="42" t="n">
        <x:v>1000</x:v>
      </x:c>
      <x:c r="C22" s="30" t="str">
        <x:v>Charge only after demonstrating relevant traffic</x:v>
      </x:c>
      <x:c r="D22" s="27"/>
      <x:c r="E22" s="30" t="str">
        <x:v>Total hours required</x:v>
      </x:c>
      <x:c r="F22" s="36" t="n">
        <x:f>G10+B20</x:f>
        <x:v>61.1</x:v>
      </x:c>
      <x:c r="G22" s="27"/>
      <x:c r="H22" s="27"/>
      <x:c r="I22" s="27"/>
    </x:row>
    <x:row r="23" ht="34" customHeight="1">
      <x:c r="A23" s="27"/>
      <x:c r="B23" s="27"/>
      <x:c r="C23" s="27"/>
      <x:c r="D23" s="27"/>
      <x:c r="E23" s="30" t="str">
        <x:v>Spare capacity hours</x:v>
      </x:c>
      <x:c r="F23" s="36" t="n">
        <x:f>B14-F22</x:f>
        <x:v>38.9</x:v>
      </x:c>
      <x:c r="G23" s="27"/>
      <x:c r="H23" s="27"/>
      <x:c r="I23" s="27"/>
    </x:row>
    <x:row r="24" ht="34" customHeight="1">
      <x:c r="A24" s="27"/>
      <x:c r="B24" s="27"/>
      <x:c r="C24" s="27"/>
      <x:c r="D24" s="27"/>
      <x:c r="E24" s="30" t="str">
        <x:v>Recurring-only profit</x:v>
      </x:c>
      <x:c r="F24" s="35" t="n">
        <x:f>F14-SUMPRODUCT(D5:D9,'Packages'!H5:H9)-(SUMPRODUCT(D5:D9,'Packages'!F5:F9)+B20)*B15-F19</x:f>
        <x:v>6317</x:v>
      </x:c>
      <x:c r="G24" s="27"/>
      <x:c r="H24" s="27"/>
      <x:c r="I24" s="27"/>
    </x:row>
    <x:row r="25" ht="25" customHeight="1">
      <x:c r="A25" s="27"/>
      <x:c r="B25" s="27"/>
      <x:c r="C25" s="27"/>
      <x:c r="D25" s="27"/>
      <x:c r="E25" s="27"/>
      <x:c r="F25" s="27"/>
      <x:c r="G25" s="27"/>
      <x:c r="H25" s="27"/>
      <x:c r="I25" s="27"/>
    </x:row>
    <x:row r="26" ht="25" customHeight="1">
      <x:c r="A26" s="27" t="str">
        <x:v>Reading the results</x:v>
      </x:c>
      <x:c r="B26" s="27"/>
      <x:c r="C26" s="27"/>
      <x:c r="D26" s="27"/>
      <x:c r="E26" s="27"/>
      <x:c r="F26" s="27"/>
      <x:c r="G26" s="27"/>
      <x:c r="H26" s="27"/>
      <x:c r="I26" s="27"/>
    </x:row>
    <x:row r="27" ht="25" customHeight="1">
      <x:c r="A27" s="27" t="str">
        <x:v>Contribution deducts package cash costs and service labour. Profit also deducts central overhead and sales/admin labour.</x:v>
      </x:c>
      <x:c r="B27" s="27"/>
      <x:c r="C27" s="27"/>
      <x:c r="D27" s="27"/>
      <x:c r="E27" s="27"/>
      <x:c r="F27" s="27"/>
      <x:c r="G27" s="27"/>
      <x:c r="H27" s="27"/>
      <x:c r="I27" s="27"/>
    </x:row>
    <x:row r="28" ht="25" customHeight="1">
      <x:c r="A28" s="27" t="str">
        <x:v>Recurring-only profit excludes setup revenue and setup costs, but includes the current billed retailer base and advertising.</x:v>
      </x:c>
      <x:c r="B28" s="27"/>
      <x:c r="C28" s="27"/>
      <x:c r="D28" s="27"/>
      <x:c r="E28" s="27"/>
      <x:c r="F28" s="27"/>
      <x:c r="G28" s="27"/>
      <x:c r="H28" s="27"/>
      <x:c r="I28" s="27"/>
    </x:row>
    <x:row r="29" ht="25" customHeight="1">
      <x:c r="A29" s="27" t="str">
        <x:v>Negative spare capacity means the plan needs fewer clients, narrower service scope or more available hours.</x:v>
      </x:c>
      <x:c r="B29" s="27"/>
      <x:c r="C29" s="27"/>
      <x:c r="D29" s="27"/>
      <x:c r="E29" s="27"/>
      <x:c r="F29" s="27"/>
      <x:c r="G29" s="27"/>
      <x:c r="H29" s="27"/>
      <x:c r="I29" s="27"/>
    </x:row>
    <x:row r="30" ht="25" customHeight="1">
      <x:c r="A30" s="27" t="str">
        <x:v>Prices exclude tax. This is a monthly operating model, not a cash-flow forecast; no churn, tax, debt or payment timing is modelled.</x:v>
      </x:c>
      <x:c r="B30" s="27"/>
      <x:c r="C30" s="27"/>
      <x:c r="D30" s="27"/>
      <x:c r="E30" s="27"/>
      <x:c r="F30" s="27"/>
      <x:c r="G30" s="27"/>
      <x:c r="H30" s="27"/>
      <x:c r="I30" s="27"/>
    </x:row>
    <x:row r="31" ht="25" customHeight="1">
      <x:c r="A31" s="27"/>
      <x:c r="B31" s="27"/>
      <x:c r="C31" s="27"/>
      <x:c r="D31" s="27"/>
      <x:c r="E31" s="27"/>
      <x:c r="F31" s="27"/>
      <x:c r="G31" s="27"/>
      <x:c r="H31" s="27"/>
      <x:c r="I31" s="27"/>
    </x:row>
    <x:row r="32" ht="25" customHeight="1">
      <x:c r="A32" s="27"/>
      <x:c r="B32" s="27"/>
      <x:c r="C32" s="27"/>
      <x:c r="D32" s="27"/>
      <x:c r="E32" s="27"/>
      <x:c r="F32" s="27"/>
      <x:c r="G32" s="27"/>
      <x:c r="H32" s="27"/>
      <x:c r="I32" s="27"/>
    </x:row>
    <x:row r="33" ht="25" customHeight="1">
      <x:c r="A33" s="27"/>
      <x:c r="B33" s="27"/>
      <x:c r="C33" s="27"/>
      <x:c r="D33" s="27"/>
      <x:c r="E33" s="27"/>
      <x:c r="F33" s="27"/>
      <x:c r="G33" s="27"/>
      <x:c r="H33" s="27"/>
      <x:c r="I33" s="27"/>
    </x:row>
    <x:row r="34" ht="25" customHeight="1">
      <x:c r="A34" s="27"/>
      <x:c r="B34" s="27"/>
      <x:c r="C34" s="27"/>
      <x:c r="D34" s="27"/>
      <x:c r="E34" s="27"/>
      <x:c r="F34" s="27"/>
      <x:c r="G34" s="27"/>
      <x:c r="H34" s="27"/>
      <x:c r="I34" s="27"/>
    </x:row>
    <x:row r="35" ht="25" customHeight="1">
      <x:c r="A35" s="27"/>
      <x:c r="B35" s="27"/>
      <x:c r="C35" s="27"/>
      <x:c r="D35" s="27"/>
      <x:c r="E35" s="27"/>
      <x:c r="F35" s="27"/>
      <x:c r="G35" s="27"/>
      <x:c r="H35" s="27"/>
      <x:c r="I35" s="27"/>
    </x:row>
    <x:row r="36" ht="25" customHeight="1">
      <x:c r="A36" s="27"/>
      <x:c r="B36" s="27"/>
      <x:c r="C36" s="27"/>
      <x:c r="D36" s="27"/>
      <x:c r="E36" s="27"/>
      <x:c r="F36" s="27"/>
      <x:c r="G36" s="27"/>
      <x:c r="H36" s="27"/>
      <x:c r="I36" s="27"/>
    </x:row>
    <x:row r="37" ht="25" customHeight="1">
      <x:c r="A37" s="27"/>
      <x:c r="B37" s="27"/>
      <x:c r="C37" s="27"/>
      <x:c r="D37" s="27"/>
      <x:c r="E37" s="27"/>
      <x:c r="F37" s="27"/>
      <x:c r="G37" s="27"/>
      <x:c r="H37" s="27"/>
      <x:c r="I37" s="27"/>
    </x:row>
    <x:row r="38" ht="25" customHeight="1">
      <x:c r="A38" s="27"/>
      <x:c r="B38" s="27"/>
      <x:c r="C38" s="27"/>
      <x:c r="D38" s="27"/>
      <x:c r="E38" s="27"/>
      <x:c r="F38" s="27"/>
      <x:c r="G38" s="27"/>
      <x:c r="H38" s="27"/>
      <x:c r="I38" s="27"/>
    </x:row>
    <x:row r="39" ht="25" customHeight="1">
      <x:c r="A39" s="27"/>
      <x:c r="B39" s="27"/>
      <x:c r="C39" s="27"/>
      <x:c r="D39" s="27"/>
      <x:c r="E39" s="27"/>
      <x:c r="F39" s="27"/>
      <x:c r="G39" s="27"/>
      <x:c r="H39" s="27"/>
      <x:c r="I39" s="27"/>
    </x:row>
  </x:sheetData>
  <x:conditionalFormatting sqref="I5:I10">
    <x:cfRule type="cellIs" dxfId="0" priority="1" operator="lessThan">
      <x:formula>0</x:formula>
    </x:cfRule>
  </x:conditionalFormatting>
  <x:conditionalFormatting sqref="F20:F20">
    <x:cfRule type="cellIs" dxfId="1" priority="2" operator="lessThan">
      <x:formula>0</x:formula>
    </x:cfRule>
  </x:conditionalFormatting>
  <x:conditionalFormatting sqref="F23:F24">
    <x:cfRule type="cellIs" dxfId="2" priority="3" operator="lessThan">
      <x:formula>0</x:formula>
    </x:cfRule>
  </x:conditionalFormatting>
  <x:dataValidations count="2">
    <x:dataValidation type="whole" operator="greaterThanOrEqual" sqref="B5:C9">
      <x:formula1>0</x:formula1>
    </x:dataValidation>
    <x:dataValidation type="whole" operator="greaterThanOrEqual" sqref="B21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5" customHeight="1">
      <x:c r="A1" s="26" t="str">
        <x:v>Compare retailer offers</x:v>
      </x:c>
      <x:c r="B1" s="27"/>
      <x:c r="C1" s="27"/>
      <x:c r="D1" s="27"/>
    </x:row>
    <x:row r="2" ht="25" customHeight="1">
      <x:c r="A2" s="28" t="str">
        <x:v>Each trial is a separate month using one paid package. Yellow inputs do not alter the Monthly plan.</x:v>
      </x:c>
      <x:c r="B2" s="27"/>
      <x:c r="C2" s="27"/>
      <x:c r="D2" s="27"/>
    </x:row>
    <x:row r="3" ht="25" customHeight="1">
      <x:c r="A3" s="27"/>
      <x:c r="B3" s="27"/>
      <x:c r="C3" s="27"/>
      <x:c r="D3" s="27"/>
    </x:row>
    <x:row r="4" ht="36" customHeight="1">
      <x:c r="A4" s="29" t="str">
        <x:v>Trial assumptions</x:v>
      </x:c>
      <x:c r="B4" s="29" t="str">
        <x:v>Trial A</x:v>
      </x:c>
      <x:c r="C4" s="29" t="str">
        <x:v>Trial B</x:v>
      </x:c>
      <x:c r="D4" s="29" t="str">
        <x:v>Trial C</x:v>
      </x:c>
    </x:row>
    <x:row r="5" ht="28" customHeight="1">
      <x:c r="A5" s="27" t="str">
        <x:v>Package</x:v>
      </x:c>
      <x:c r="B5" s="34" t="str">
        <x:v>Starter catalogue</x:v>
      </x:c>
      <x:c r="C5" s="34" t="str">
        <x:v>Standard catalogue</x:v>
      </x:c>
      <x:c r="D5" s="34" t="str">
        <x:v>Managed catalogue</x:v>
      </x:c>
    </x:row>
    <x:row r="6" ht="28" customHeight="1">
      <x:c r="A6" s="27" t="str">
        <x:v>Setup price override</x:v>
      </x:c>
      <x:c r="B6" s="42" t="n">
        <x:v>1999</x:v>
      </x:c>
      <x:c r="C6" s="42" t="n">
        <x:v>2999</x:v>
      </x:c>
      <x:c r="D6" s="42" t="n">
        <x:v>4999</x:v>
      </x:c>
    </x:row>
    <x:row r="7" ht="28" customHeight="1">
      <x:c r="A7" s="27" t="str">
        <x:v>Monthly price override</x:v>
      </x:c>
      <x:c r="B7" s="42" t="n">
        <x:v>499</x:v>
      </x:c>
      <x:c r="C7" s="42" t="n">
        <x:v>699</x:v>
      </x:c>
      <x:c r="D7" s="42" t="n">
        <x:v>999</x:v>
      </x:c>
    </x:row>
    <x:row r="8" ht="28" customHeight="1">
      <x:c r="A8" s="27" t="str">
        <x:v>Existing retailers</x:v>
      </x:c>
      <x:c r="B8" s="34" t="n">
        <x:v>5</x:v>
      </x:c>
      <x:c r="C8" s="34" t="n">
        <x:v>20</x:v>
      </x:c>
      <x:c r="D8" s="34" t="n">
        <x:v>10</x:v>
      </x:c>
    </x:row>
    <x:row r="9" ht="28" customHeight="1">
      <x:c r="A9" s="27" t="str">
        <x:v>New sign-ups</x:v>
      </x:c>
      <x:c r="B9" s="34" t="n">
        <x:v>1</x:v>
      </x:c>
      <x:c r="C9" s="34" t="n">
        <x:v>3</x:v>
      </x:c>
      <x:c r="D9" s="34" t="n">
        <x:v>2</x:v>
      </x:c>
    </x:row>
    <x:row r="10" ht="28" customHeight="1">
      <x:c r="A10" s="27" t="str">
        <x:v>Setup hours / retailer</x:v>
      </x:c>
      <x:c r="B10" s="43" t="n">
        <x:f>INDEX('Packages'!$E$5:$E$9,MATCH(B5,'Packages'!$A$5:$A$9,0))</x:f>
        <x:v>2</x:v>
      </x:c>
      <x:c r="C10" s="43" t="n">
        <x:f>INDEX('Packages'!$E$5:$E$9,MATCH(C5,'Packages'!$A$5:$A$9,0))</x:f>
        <x:v>3</x:v>
      </x:c>
      <x:c r="D10" s="43" t="n">
        <x:f>INDEX('Packages'!$E$5:$E$9,MATCH(D5,'Packages'!$A$5:$A$9,0))</x:f>
        <x:v>5</x:v>
      </x:c>
    </x:row>
    <x:row r="11" ht="28" customHeight="1">
      <x:c r="A11" s="27" t="str">
        <x:v>Monthly hours / retailer</x:v>
      </x:c>
      <x:c r="B11" s="43" t="n">
        <x:f>INDEX('Packages'!$F$5:$F$9,MATCH(B5,'Packages'!$A$5:$A$9,0))</x:f>
        <x:v>0.5</x:v>
      </x:c>
      <x:c r="C11" s="43" t="n">
        <x:f>INDEX('Packages'!$F$5:$F$9,MATCH(C5,'Packages'!$A$5:$A$9,0))</x:f>
        <x:v>1</x:v>
      </x:c>
      <x:c r="D11" s="43" t="n">
        <x:f>INDEX('Packages'!$F$5:$F$9,MATCH(D5,'Packages'!$A$5:$A$9,0))</x:f>
        <x:v>2</x:v>
      </x:c>
    </x:row>
    <x:row r="12" ht="28" customHeight="1">
      <x:c r="A12" s="27" t="str">
        <x:v>Setup cash / retailer</x:v>
      </x:c>
      <x:c r="B12" s="35" t="n">
        <x:f>INDEX('Packages'!$G$5:$G$9,MATCH(B5,'Packages'!$A$5:$A$9,0))</x:f>
        <x:v>100</x:v>
      </x:c>
      <x:c r="C12" s="35" t="n">
        <x:f>INDEX('Packages'!$G$5:$G$9,MATCH(C5,'Packages'!$A$5:$A$9,0))</x:f>
        <x:v>150</x:v>
      </x:c>
      <x:c r="D12" s="35" t="n">
        <x:f>INDEX('Packages'!$G$5:$G$9,MATCH(D5,'Packages'!$A$5:$A$9,0))</x:f>
        <x:v>250</x:v>
      </x:c>
    </x:row>
    <x:row r="13" ht="28" customHeight="1">
      <x:c r="A13" s="27" t="str">
        <x:v>Monthly cash / retailer</x:v>
      </x:c>
      <x:c r="B13" s="35" t="n">
        <x:f>INDEX('Packages'!$H$5:$H$9,MATCH(B5,'Packages'!$A$5:$A$9,0))</x:f>
        <x:v>25</x:v>
      </x:c>
      <x:c r="C13" s="35" t="n">
        <x:f>INDEX('Packages'!$H$5:$H$9,MATCH(C5,'Packages'!$A$5:$A$9,0))</x:f>
        <x:v>50</x:v>
      </x:c>
      <x:c r="D13" s="35" t="n">
        <x:f>INDEX('Packages'!$H$5:$H$9,MATCH(D5,'Packages'!$A$5:$A$9,0))</x:f>
        <x:v>75</x:v>
      </x:c>
    </x:row>
    <x:row r="14" ht="28" customHeight="1">
      <x:c r="A14" s="27" t="str">
        <x:v>Billed retailers</x:v>
      </x:c>
      <x:c r="B14" s="27" t="n">
        <x:f>B8+B9</x:f>
        <x:v>6</x:v>
      </x:c>
      <x:c r="C14" s="27" t="n">
        <x:f>C8+C9</x:f>
        <x:v>23</x:v>
      </x:c>
      <x:c r="D14" s="27" t="n">
        <x:f>D8+D9</x:f>
        <x:v>12</x:v>
      </x:c>
    </x:row>
    <x:row r="15" ht="28" customHeight="1">
      <x:c r="A15" s="27" t="str">
        <x:v>Recurring revenue</x:v>
      </x:c>
      <x:c r="B15" s="35" t="n">
        <x:f>B14*B7</x:f>
        <x:v>2994</x:v>
      </x:c>
      <x:c r="C15" s="35" t="n">
        <x:f>C14*C7</x:f>
        <x:v>16077</x:v>
      </x:c>
      <x:c r="D15" s="35" t="n">
        <x:f>D14*D7</x:f>
        <x:v>11988</x:v>
      </x:c>
    </x:row>
    <x:row r="16" ht="28" customHeight="1">
      <x:c r="A16" s="27" t="str">
        <x:v>Setup revenue</x:v>
      </x:c>
      <x:c r="B16" s="35" t="n">
        <x:f>B9*B6</x:f>
        <x:v>1999</x:v>
      </x:c>
      <x:c r="C16" s="35" t="n">
        <x:f>C9*C6</x:f>
        <x:v>8997</x:v>
      </x:c>
      <x:c r="D16" s="35" t="n">
        <x:f>D9*D6</x:f>
        <x:v>9998</x:v>
      </x:c>
    </x:row>
    <x:row r="17" ht="28" customHeight="1">
      <x:c r="A17" s="27" t="str">
        <x:v>Total revenue</x:v>
      </x:c>
      <x:c r="B17" s="35" t="n">
        <x:f>B15+B16</x:f>
        <x:v>4993</x:v>
      </x:c>
      <x:c r="C17" s="35" t="n">
        <x:f>C15+C16</x:f>
        <x:v>25074</x:v>
      </x:c>
      <x:c r="D17" s="35" t="n">
        <x:f>D15+D16</x:f>
        <x:v>21986</x:v>
      </x:c>
    </x:row>
    <x:row r="18" ht="28" customHeight="1">
      <x:c r="A18" s="27" t="str">
        <x:v>Direct cash costs</x:v>
      </x:c>
      <x:c r="B18" s="35" t="n">
        <x:f>B9*B12+B14*B13</x:f>
        <x:v>250</x:v>
      </x:c>
      <x:c r="C18" s="35" t="n">
        <x:f>C9*C12+C14*C13</x:f>
        <x:v>1600</x:v>
      </x:c>
      <x:c r="D18" s="35" t="n">
        <x:f>D9*D12+D14*D13</x:f>
        <x:v>1400</x:v>
      </x:c>
    </x:row>
    <x:row r="19" ht="28" customHeight="1">
      <x:c r="A19" s="27" t="str">
        <x:v>Labour cost</x:v>
      </x:c>
      <x:c r="B19" s="35" t="n">
        <x:f>B23*'Monthly plan'!$B$15</x:f>
        <x:v>3750</x:v>
      </x:c>
      <x:c r="C19" s="35" t="n">
        <x:f>C23*'Monthly plan'!$B$15</x:f>
        <x:v>10500</x:v>
      </x:c>
      <x:c r="D19" s="35" t="n">
        <x:f>D23*'Monthly plan'!$B$15</x:f>
        <x:v>11000</x:v>
      </x:c>
    </x:row>
    <x:row r="20" ht="28" customHeight="1">
      <x:c r="A20" s="27" t="str">
        <x:v>Fixed overhead</x:v>
      </x:c>
      <x:c r="B20" s="35" t="n">
        <x:f>SUM('Monthly plan'!$B$16:$B$19)</x:f>
        <x:v>4000</x:v>
      </x:c>
      <x:c r="C20" s="35" t="n">
        <x:f>SUM('Monthly plan'!$B$16:$B$19)</x:f>
        <x:v>4000</x:v>
      </x:c>
      <x:c r="D20" s="35" t="n">
        <x:f>SUM('Monthly plan'!$B$16:$B$19)</x:f>
        <x:v>4000</x:v>
      </x:c>
    </x:row>
    <x:row r="21" ht="28" customHeight="1">
      <x:c r="A21" s="37" t="str">
        <x:v>Profit before tax</x:v>
      </x:c>
      <x:c r="B21" s="38" t="n">
        <x:f>B17-SUM(B18:B20)</x:f>
        <x:v>-3007</x:v>
      </x:c>
      <x:c r="C21" s="38" t="n">
        <x:f>C17-SUM(C18:C20)</x:f>
        <x:v>8974</x:v>
      </x:c>
      <x:c r="D21" s="38" t="n">
        <x:f>D17-SUM(D18:D20)</x:f>
        <x:v>5586</x:v>
      </x:c>
    </x:row>
    <x:row r="22" ht="28" customHeight="1">
      <x:c r="A22" s="27" t="str">
        <x:v>Recurring-only profit</x:v>
      </x:c>
      <x:c r="B22" s="35" t="n">
        <x:f>B15-B14*B13-(B14*B11+'Monthly plan'!$B$20)*'Monthly plan'!$B$15-B20</x:f>
        <x:v>-4406</x:v>
      </x:c>
      <x:c r="C22" s="35" t="n">
        <x:f>C15-C14*C13-(C14*C11+'Monthly plan'!$B$20)*'Monthly plan'!$B$15-C20</x:f>
        <x:v>2677</x:v>
      </x:c>
      <x:c r="D22" s="35" t="n">
        <x:f>D15-D14*D13-(D14*D11+'Monthly plan'!$B$20)*'Monthly plan'!$B$15-D20</x:f>
        <x:v>-1412</x:v>
      </x:c>
    </x:row>
    <x:row r="23" ht="28" customHeight="1">
      <x:c r="A23" s="27" t="str">
        <x:v>Total hours required</x:v>
      </x:c>
      <x:c r="B23" s="36" t="n">
        <x:f>B9*B10+B14*B11+'Monthly plan'!$B$20</x:f>
        <x:v>15</x:v>
      </x:c>
      <x:c r="C23" s="36" t="n">
        <x:f>C9*C10+C14*C11+'Monthly plan'!$B$20</x:f>
        <x:v>42</x:v>
      </x:c>
      <x:c r="D23" s="36" t="n">
        <x:f>D9*D10+D14*D11+'Monthly plan'!$B$20</x:f>
        <x:v>44</x:v>
      </x:c>
    </x:row>
    <x:row r="24" ht="28" customHeight="1">
      <x:c r="A24" s="27" t="str">
        <x:v>Spare capacity hours</x:v>
      </x:c>
      <x:c r="B24" s="36" t="n">
        <x:f>'Monthly plan'!$B$14-B23</x:f>
        <x:v>85</x:v>
      </x:c>
      <x:c r="C24" s="36" t="n">
        <x:f>'Monthly plan'!$B$14-C23</x:f>
        <x:v>58</x:v>
      </x:c>
      <x:c r="D24" s="36" t="n">
        <x:f>'Monthly plan'!$B$14-D23</x:f>
        <x:v>56</x:v>
      </x:c>
    </x:row>
    <x:row r="25" ht="28" customHeight="1">
      <x:c r="A25" s="27" t="str">
        <x:v>Monthly contribution / retailer</x:v>
      </x:c>
      <x:c r="B25" s="35" t="n">
        <x:f>B7-B13-B11*'Monthly plan'!$B$15</x:f>
        <x:v>349</x:v>
      </x:c>
      <x:c r="C25" s="35" t="n">
        <x:f>C7-C13-C11*'Monthly plan'!$B$15</x:f>
        <x:v>399</x:v>
      </x:c>
      <x:c r="D25" s="35" t="n">
        <x:f>D7-D13-D11*'Monthly plan'!$B$15</x:f>
        <x:v>424</x:v>
      </x:c>
    </x:row>
    <x:row r="26" ht="28" customHeight="1">
      <x:c r="A26" s="27" t="str">
        <x:v>Retailers to cover fixed costs</x:v>
      </x:c>
      <x:c r="B26" s="27" t="n">
        <x:f>IF(B25&lt;=0,"No break-even",ROUNDUP((B20+'Monthly plan'!$B$20*'Monthly plan'!$B$15)/B25,0))</x:f>
        <x:v>19</x:v>
      </x:c>
      <x:c r="C26" s="27" t="n">
        <x:f>IF(C25&lt;=0,"No break-even",ROUNDUP((C20+'Monthly plan'!$B$20*'Monthly plan'!$B$15)/C25,0))</x:f>
        <x:v>17</x:v>
      </x:c>
      <x:c r="D26" s="27" t="n">
        <x:f>IF(D25&lt;=0,"No break-even",ROUNDUP((D20+'Monthly plan'!$B$20*'Monthly plan'!$B$15)/D25,0))</x:f>
        <x:v>16</x:v>
      </x:c>
    </x:row>
    <x:row r="27" ht="25" customHeight="1">
      <x:c r="A27" s="27"/>
      <x:c r="B27" s="27"/>
      <x:c r="C27" s="27"/>
      <x:c r="D27" s="27"/>
    </x:row>
    <x:row r="28" ht="25" customHeight="1">
      <x:c r="A28" s="27"/>
      <x:c r="B28" s="27"/>
      <x:c r="C28" s="27"/>
      <x:c r="D28" s="27"/>
    </x:row>
    <x:row r="29" ht="25" customHeight="1">
      <x:c r="A29" s="27" t="str">
        <x:v>How to test</x:v>
      </x:c>
      <x:c r="B29" s="27"/>
      <x:c r="C29" s="27"/>
      <x:c r="D29" s="27"/>
    </x:row>
    <x:row r="30" ht="25" customHeight="1">
      <x:c r="A30" s="27" t="str">
        <x:v>Select a package, then enter the setup and monthly prices you want to test. Override prices remain editable when the package changes.</x:v>
      </x:c>
      <x:c r="B30" s="27"/>
      <x:c r="C30" s="27"/>
      <x:c r="D30" s="27"/>
    </x:row>
    <x:row r="31" ht="25" customHeight="1">
      <x:c r="A31" s="27" t="str">
        <x:v>Hours and direct cash costs follow Packages. Shared overhead, hourly labour cost and available hours follow Monthly plan.</x:v>
      </x:c>
      <x:c r="B31" s="27"/>
      <x:c r="C31" s="27"/>
      <x:c r="D31" s="27"/>
    </x:row>
    <x:row r="32" ht="25" customHeight="1">
      <x:c r="A32" s="27" t="str">
        <x:v>Break-even uses recurring fees only. It excludes setup income and advertising. Trials exclude free listings and all add-ons.</x:v>
      </x:c>
      <x:c r="B32" s="27"/>
      <x:c r="C32" s="27"/>
      <x:c r="D32" s="27"/>
    </x:row>
    <x:row r="33" ht="25" customHeight="1">
      <x:c r="A33" s="27"/>
      <x:c r="B33" s="27"/>
      <x:c r="C33" s="27"/>
      <x:c r="D33" s="27"/>
    </x:row>
    <x:row r="34" ht="25" customHeight="1">
      <x:c r="A34" s="27"/>
      <x:c r="B34" s="27"/>
      <x:c r="C34" s="27"/>
      <x:c r="D34" s="27"/>
    </x:row>
    <x:row r="35" ht="25" customHeight="1">
      <x:c r="A35" s="27"/>
      <x:c r="B35" s="27"/>
      <x:c r="C35" s="27"/>
      <x:c r="D35" s="27"/>
    </x:row>
  </x:sheetData>
  <x:conditionalFormatting sqref="B21:D22">
    <x:cfRule type="cellIs" dxfId="3" priority="1" operator="lessThan">
      <x:formula>0</x:formula>
    </x:cfRule>
  </x:conditionalFormatting>
  <x:conditionalFormatting sqref="B24:D25">
    <x:cfRule type="cellIs" dxfId="4" priority="2" operator="lessThan">
      <x:formula>0</x:formula>
    </x:cfRule>
  </x:conditionalFormatting>
  <x:dataValidations count="2">
    <x:dataValidation type="list" sqref="B5:D5">
      <x:formula1>'Packages'!$A$6:$A$9</x:formula1>
    </x:dataValidation>
    <x:dataValidation type="whole" operator="greaterThanOrEqual" sqref="B8:D9">
      <x:formula1>0</x:formula1>
    </x:dataValidation>
  </x:dataValidations>
  <x:pageMargins left="0.7" right="0.7" top="0.75" bottom="0.75" header="0.3" footer="0.3"/>
</x:worksheet>
</file>